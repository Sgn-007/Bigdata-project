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iran\Downloads\"/>
    </mc:Choice>
  </mc:AlternateContent>
  <xr:revisionPtr revIDLastSave="0" documentId="13_ncr:1_{8D811CBA-818B-4B1C-B3A6-2197621F54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troleum_Products" sheetId="1" r:id="rId1"/>
    <sheet name="Petroleum_Totals" sheetId="2" r:id="rId2"/>
    <sheet name="Domestic_Crude" sheetId="3" r:id="rId3"/>
    <sheet name="Crude_Imports" sheetId="4" r:id="rId4"/>
    <sheet name="Refining_Capacity" sheetId="5" r:id="rId5"/>
    <sheet name="Refinery_Throughput" sheetId="6" r:id="rId6"/>
    <sheet name="Natural_Gas" sheetId="7" r:id="rId7"/>
    <sheet name="Dashboard_Annual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8" l="1"/>
  <c r="J6" i="8"/>
  <c r="I6" i="8"/>
  <c r="C6" i="8"/>
  <c r="K5" i="8"/>
  <c r="J5" i="8"/>
  <c r="I5" i="8"/>
  <c r="C5" i="8"/>
  <c r="K4" i="8"/>
  <c r="J4" i="8"/>
  <c r="I4" i="8"/>
  <c r="C4" i="8"/>
  <c r="K3" i="8"/>
  <c r="J3" i="8"/>
  <c r="I3" i="8"/>
  <c r="C3" i="8"/>
  <c r="K2" i="8"/>
  <c r="J2" i="8"/>
  <c r="I2" i="8"/>
  <c r="C2" i="8"/>
  <c r="E6" i="7"/>
  <c r="E5" i="7"/>
  <c r="E4" i="7"/>
  <c r="E3" i="7"/>
  <c r="E2" i="7"/>
  <c r="C6" i="6"/>
  <c r="G6" i="8" s="1"/>
  <c r="C5" i="6"/>
  <c r="G5" i="8" s="1"/>
  <c r="C4" i="6"/>
  <c r="G4" i="8" s="1"/>
  <c r="C3" i="6"/>
  <c r="G3" i="8" s="1"/>
  <c r="C2" i="6"/>
  <c r="G2" i="8" s="1"/>
  <c r="D6" i="5"/>
  <c r="F6" i="8" s="1"/>
  <c r="D5" i="5"/>
  <c r="F5" i="8" s="1"/>
  <c r="D4" i="5"/>
  <c r="F4" i="8" s="1"/>
  <c r="D3" i="5"/>
  <c r="F3" i="8" s="1"/>
  <c r="D2" i="5"/>
  <c r="F2" i="8" s="1"/>
  <c r="C6" i="4"/>
  <c r="D6" i="8" s="1"/>
  <c r="E6" i="8" s="1"/>
  <c r="C5" i="4"/>
  <c r="D5" i="8" s="1"/>
  <c r="E5" i="8" s="1"/>
  <c r="C4" i="4"/>
  <c r="D4" i="8" s="1"/>
  <c r="E4" i="8" s="1"/>
  <c r="C3" i="4"/>
  <c r="D3" i="8" s="1"/>
  <c r="E3" i="8" s="1"/>
  <c r="C2" i="4"/>
  <c r="D2" i="8" s="1"/>
  <c r="E2" i="8" s="1"/>
  <c r="C6" i="2"/>
  <c r="B6" i="8" s="1"/>
  <c r="L6" i="8" s="1"/>
  <c r="C5" i="2"/>
  <c r="B5" i="8" s="1"/>
  <c r="L5" i="8" s="1"/>
  <c r="C4" i="2"/>
  <c r="B4" i="8" s="1"/>
  <c r="L4" i="8" s="1"/>
  <c r="C3" i="2"/>
  <c r="B3" i="8" s="1"/>
  <c r="L3" i="8" s="1"/>
  <c r="C2" i="2"/>
  <c r="B2" i="8" s="1"/>
  <c r="L2" i="8" s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H5" i="8" l="1"/>
  <c r="H6" i="8"/>
  <c r="H3" i="8"/>
  <c r="H2" i="8"/>
  <c r="H4" i="8"/>
</calcChain>
</file>

<file path=xl/sharedStrings.xml><?xml version="1.0" encoding="utf-8"?>
<sst xmlns="http://schemas.openxmlformats.org/spreadsheetml/2006/main" count="202" uniqueCount="48">
  <si>
    <t>Financial Year</t>
  </si>
  <si>
    <t>Product</t>
  </si>
  <si>
    <t>Reported 000 MT</t>
  </si>
  <si>
    <t>MMT (calculated)</t>
  </si>
  <si>
    <t>2021-22</t>
  </si>
  <si>
    <t>LPG</t>
  </si>
  <si>
    <t>Naphtha</t>
  </si>
  <si>
    <t>MS</t>
  </si>
  <si>
    <t>ATF</t>
  </si>
  <si>
    <t>SKO</t>
  </si>
  <si>
    <t>HSD</t>
  </si>
  <si>
    <t>LDO</t>
  </si>
  <si>
    <t>Lubricants &amp; Greases</t>
  </si>
  <si>
    <t>FO &amp; LSHS</t>
  </si>
  <si>
    <t>Bitumen</t>
  </si>
  <si>
    <t>Petroleum coke</t>
  </si>
  <si>
    <t>Others</t>
  </si>
  <si>
    <t>2022-23</t>
  </si>
  <si>
    <t>2023-24</t>
  </si>
  <si>
    <t>2024-25</t>
  </si>
  <si>
    <t>2025-26</t>
  </si>
  <si>
    <t>Total Crude Oil (MMT)</t>
  </si>
  <si>
    <t>Imports MMT (calculated)</t>
  </si>
  <si>
    <t>Capacity Reference Date</t>
  </si>
  <si>
    <t>Capacity MMTPA (calculated)</t>
  </si>
  <si>
    <t>1 April 2021</t>
  </si>
  <si>
    <t>1 April 2022</t>
  </si>
  <si>
    <t>1 April 2023</t>
  </si>
  <si>
    <t>1 April 2024</t>
  </si>
  <si>
    <t>1 April 2025</t>
  </si>
  <si>
    <t>Throughput MMT (calculated)</t>
  </si>
  <si>
    <t>Net Production MMSCM</t>
  </si>
  <si>
    <t>LNG Imports MMSCM</t>
  </si>
  <si>
    <t>Reported Total MMSCM</t>
  </si>
  <si>
    <t>Recomputed Total MMSCM</t>
  </si>
  <si>
    <t>Petroleum Total MMT</t>
  </si>
  <si>
    <t>Domestic Crude MMT</t>
  </si>
  <si>
    <t>Crude Imports MMT</t>
  </si>
  <si>
    <t>Crude Import Share %</t>
  </si>
  <si>
    <t>Refining Capacity MMTPA</t>
  </si>
  <si>
    <t>Refinery Throughput MMT</t>
  </si>
  <si>
    <t>Utilization % (indicative)</t>
  </si>
  <si>
    <t>Natural Gas MMSCM</t>
  </si>
  <si>
    <t>Gas Net Production MMSCM</t>
  </si>
  <si>
    <t>Other Petroleum MMT</t>
  </si>
  <si>
    <t>FY26 Status</t>
  </si>
  <si>
    <t>See source notes</t>
  </si>
  <si>
    <t>Provisional where flagged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</si>
</sst>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38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B1" workbookViewId="0">
      <pane ySplit="1" topLeftCell="A36" activePane="bottomLeft" state="frozen"/>
      <selection pane="bottomLeft" activeCell="G42" sqref="G42"/>
    </sheetView>
  </sheetViews>
  <sheetFormatPr defaultRowHeight="13.8"/>
  <cols>
    <col min="1" max="1" width="24" customWidth="1"/>
    <col min="2" max="9" width="21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  <c r="G1" s="3"/>
      <c r="H1" s="3"/>
      <c r="I1" s="3"/>
    </row>
    <row r="2" spans="1:9">
      <c r="A2" t="s">
        <v>4</v>
      </c>
      <c r="B2" t="s">
        <v>5</v>
      </c>
      <c r="C2" s="2">
        <v>28253.488206793263</v>
      </c>
      <c r="D2" s="2">
        <f t="shared" ref="D2:D33" si="0">C2/1000</f>
        <v>28.253488206793264</v>
      </c>
      <c r="E2" s="4"/>
      <c r="F2" s="4"/>
      <c r="G2" s="4"/>
      <c r="H2" s="4"/>
      <c r="I2" s="4"/>
    </row>
    <row r="3" spans="1:9">
      <c r="A3" t="s">
        <v>4</v>
      </c>
      <c r="B3" t="s">
        <v>6</v>
      </c>
      <c r="C3" s="2">
        <v>13245.59092398</v>
      </c>
      <c r="D3" s="2">
        <f t="shared" si="0"/>
        <v>13.24559092398</v>
      </c>
      <c r="E3" s="4"/>
      <c r="F3" s="4"/>
      <c r="G3" s="4"/>
      <c r="H3" s="4"/>
      <c r="I3" s="4"/>
    </row>
    <row r="4" spans="1:9">
      <c r="A4" t="s">
        <v>4</v>
      </c>
      <c r="B4" t="s">
        <v>7</v>
      </c>
      <c r="C4" s="2">
        <v>30848.957073147161</v>
      </c>
      <c r="D4" s="2">
        <f t="shared" si="0"/>
        <v>30.848957073147162</v>
      </c>
      <c r="E4" s="4"/>
      <c r="F4" s="4"/>
      <c r="G4" s="4"/>
      <c r="H4" s="4"/>
      <c r="I4" s="4"/>
    </row>
    <row r="5" spans="1:9">
      <c r="A5" t="s">
        <v>4</v>
      </c>
      <c r="B5" t="s">
        <v>8</v>
      </c>
      <c r="C5" s="2">
        <v>5007.9625058782594</v>
      </c>
      <c r="D5" s="2">
        <f t="shared" si="0"/>
        <v>5.0079625058782593</v>
      </c>
      <c r="E5" s="4"/>
      <c r="F5" s="4"/>
      <c r="G5" s="4"/>
      <c r="H5" s="4"/>
      <c r="I5" s="4"/>
    </row>
    <row r="6" spans="1:9">
      <c r="A6" t="s">
        <v>4</v>
      </c>
      <c r="B6" t="s">
        <v>9</v>
      </c>
      <c r="C6" s="2">
        <v>1493.3712547361868</v>
      </c>
      <c r="D6" s="2">
        <f t="shared" si="0"/>
        <v>1.4933712547361868</v>
      </c>
      <c r="E6" s="4"/>
      <c r="F6" s="4"/>
      <c r="G6" s="4"/>
      <c r="H6" s="4"/>
      <c r="I6" s="4"/>
    </row>
    <row r="7" spans="1:9">
      <c r="A7" t="s">
        <v>4</v>
      </c>
      <c r="B7" t="s">
        <v>10</v>
      </c>
      <c r="C7" s="2">
        <v>76658.718442334008</v>
      </c>
      <c r="D7" s="2">
        <f t="shared" si="0"/>
        <v>76.658718442334006</v>
      </c>
      <c r="E7" s="4"/>
      <c r="F7" s="4"/>
      <c r="G7" s="4"/>
      <c r="H7" s="4"/>
      <c r="I7" s="4"/>
    </row>
    <row r="8" spans="1:9">
      <c r="A8" t="s">
        <v>4</v>
      </c>
      <c r="B8" t="s">
        <v>11</v>
      </c>
      <c r="C8" s="2">
        <v>1017.4963409616055</v>
      </c>
      <c r="D8" s="2">
        <f t="shared" si="0"/>
        <v>1.0174963409616056</v>
      </c>
      <c r="E8" s="4"/>
      <c r="F8" s="4"/>
      <c r="G8" s="4"/>
      <c r="H8" s="4"/>
      <c r="I8" s="4"/>
    </row>
    <row r="9" spans="1:9">
      <c r="A9" t="s">
        <v>4</v>
      </c>
      <c r="B9" t="s">
        <v>12</v>
      </c>
      <c r="C9" s="2">
        <v>4540.3418109611102</v>
      </c>
      <c r="D9" s="2">
        <f t="shared" si="0"/>
        <v>4.5403418109611104</v>
      </c>
      <c r="E9" s="4"/>
      <c r="F9" s="4"/>
      <c r="G9" s="4"/>
      <c r="H9" s="4"/>
      <c r="I9" s="4"/>
    </row>
    <row r="10" spans="1:9">
      <c r="A10" t="s">
        <v>4</v>
      </c>
      <c r="B10" t="s">
        <v>13</v>
      </c>
      <c r="C10" s="2">
        <v>6278.6389575076118</v>
      </c>
      <c r="D10" s="2">
        <f t="shared" si="0"/>
        <v>6.2786389575076118</v>
      </c>
      <c r="E10" s="4"/>
      <c r="F10" s="4"/>
      <c r="G10" s="4"/>
      <c r="H10" s="4"/>
      <c r="I10" s="4"/>
    </row>
    <row r="11" spans="1:9">
      <c r="A11" t="s">
        <v>4</v>
      </c>
      <c r="B11" t="s">
        <v>14</v>
      </c>
      <c r="C11" s="2">
        <v>7816.3297359999951</v>
      </c>
      <c r="D11" s="2">
        <f t="shared" si="0"/>
        <v>7.8163297359999948</v>
      </c>
      <c r="E11" s="4"/>
      <c r="F11" s="4"/>
      <c r="G11" s="4"/>
      <c r="H11" s="4"/>
      <c r="I11" s="4"/>
    </row>
    <row r="12" spans="1:9">
      <c r="A12" t="s">
        <v>4</v>
      </c>
      <c r="B12" t="s">
        <v>15</v>
      </c>
      <c r="C12" s="2">
        <v>14255.431952000001</v>
      </c>
      <c r="D12" s="2">
        <f t="shared" si="0"/>
        <v>14.255431952</v>
      </c>
      <c r="E12" s="4"/>
      <c r="F12" s="4"/>
      <c r="G12" s="4"/>
      <c r="H12" s="4"/>
      <c r="I12" s="4"/>
    </row>
    <row r="13" spans="1:9">
      <c r="A13" t="s">
        <v>4</v>
      </c>
      <c r="B13" t="s">
        <v>16</v>
      </c>
      <c r="C13" s="2">
        <v>12280.330527369722</v>
      </c>
      <c r="D13" s="2">
        <f t="shared" si="0"/>
        <v>12.280330527369722</v>
      </c>
      <c r="E13" s="4"/>
      <c r="F13" s="4"/>
      <c r="G13" s="4"/>
      <c r="H13" s="4"/>
      <c r="I13" s="4"/>
    </row>
    <row r="14" spans="1:9">
      <c r="A14" t="s">
        <v>17</v>
      </c>
      <c r="B14" t="s">
        <v>5</v>
      </c>
      <c r="C14" s="2">
        <v>28503.831865940047</v>
      </c>
      <c r="D14" s="2">
        <f t="shared" si="0"/>
        <v>28.503831865940047</v>
      </c>
      <c r="E14" s="4"/>
      <c r="F14" s="4"/>
      <c r="G14" s="4"/>
      <c r="H14" s="4"/>
      <c r="I14" s="4"/>
    </row>
    <row r="15" spans="1:9">
      <c r="A15" t="s">
        <v>17</v>
      </c>
      <c r="B15" t="s">
        <v>6</v>
      </c>
      <c r="C15" s="2">
        <v>12126.519465788004</v>
      </c>
      <c r="D15" s="2">
        <f t="shared" si="0"/>
        <v>12.126519465788004</v>
      </c>
      <c r="E15" s="4"/>
      <c r="F15" s="4"/>
      <c r="G15" s="4"/>
      <c r="H15" s="4"/>
      <c r="I15" s="4"/>
    </row>
    <row r="16" spans="1:9">
      <c r="A16" t="s">
        <v>17</v>
      </c>
      <c r="B16" t="s">
        <v>7</v>
      </c>
      <c r="C16" s="2">
        <v>34976.363981211325</v>
      </c>
      <c r="D16" s="2">
        <f t="shared" si="0"/>
        <v>34.976363981211328</v>
      </c>
      <c r="E16" s="4"/>
      <c r="F16" s="4"/>
      <c r="G16" s="4"/>
      <c r="H16" s="4"/>
      <c r="I16" s="4"/>
    </row>
    <row r="17" spans="1:9">
      <c r="A17" t="s">
        <v>17</v>
      </c>
      <c r="B17" t="s">
        <v>8</v>
      </c>
      <c r="C17" s="2">
        <v>7378.0751305329932</v>
      </c>
      <c r="D17" s="2">
        <f t="shared" si="0"/>
        <v>7.3780751305329932</v>
      </c>
      <c r="E17" s="4"/>
      <c r="F17" s="4"/>
      <c r="G17" s="4"/>
      <c r="H17" s="4"/>
      <c r="I17" s="4"/>
    </row>
    <row r="18" spans="1:9">
      <c r="A18" t="s">
        <v>17</v>
      </c>
      <c r="B18" t="s">
        <v>9</v>
      </c>
      <c r="C18" s="2">
        <v>489.58057784669199</v>
      </c>
      <c r="D18" s="2">
        <f t="shared" si="0"/>
        <v>0.48958057784669201</v>
      </c>
      <c r="E18" s="4"/>
      <c r="F18" s="4"/>
      <c r="G18" s="4"/>
      <c r="H18" s="4"/>
      <c r="I18" s="4"/>
    </row>
    <row r="19" spans="1:9">
      <c r="A19" t="s">
        <v>17</v>
      </c>
      <c r="B19" t="s">
        <v>10</v>
      </c>
      <c r="C19" s="2">
        <v>85900.453375490906</v>
      </c>
      <c r="D19" s="2">
        <f t="shared" si="0"/>
        <v>85.900453375490912</v>
      </c>
      <c r="E19" s="4"/>
      <c r="F19" s="4"/>
      <c r="G19" s="4"/>
      <c r="H19" s="4"/>
      <c r="I19" s="4"/>
    </row>
    <row r="20" spans="1:9">
      <c r="A20" t="s">
        <v>17</v>
      </c>
      <c r="B20" t="s">
        <v>11</v>
      </c>
      <c r="C20" s="2">
        <v>725.62592351877129</v>
      </c>
      <c r="D20" s="2">
        <f t="shared" si="0"/>
        <v>0.72562592351877131</v>
      </c>
      <c r="E20" s="4"/>
      <c r="F20" s="4"/>
      <c r="G20" s="4"/>
      <c r="H20" s="4"/>
      <c r="I20" s="4"/>
    </row>
    <row r="21" spans="1:9">
      <c r="A21" t="s">
        <v>17</v>
      </c>
      <c r="B21" t="s">
        <v>12</v>
      </c>
      <c r="C21" s="2">
        <v>3737.1852359642021</v>
      </c>
      <c r="D21" s="2">
        <f t="shared" si="0"/>
        <v>3.7371852359642022</v>
      </c>
      <c r="E21" s="4"/>
      <c r="F21" s="4"/>
      <c r="G21" s="4"/>
      <c r="H21" s="4"/>
      <c r="I21" s="4"/>
    </row>
    <row r="22" spans="1:9">
      <c r="A22" t="s">
        <v>17</v>
      </c>
      <c r="B22" t="s">
        <v>13</v>
      </c>
      <c r="C22" s="2">
        <v>6963.4296367178613</v>
      </c>
      <c r="D22" s="2">
        <f t="shared" si="0"/>
        <v>6.9634296367178612</v>
      </c>
      <c r="E22" s="4"/>
      <c r="F22" s="4"/>
      <c r="G22" s="4"/>
      <c r="H22" s="4"/>
      <c r="I22" s="4"/>
    </row>
    <row r="23" spans="1:9">
      <c r="A23" t="s">
        <v>17</v>
      </c>
      <c r="B23" t="s">
        <v>14</v>
      </c>
      <c r="C23" s="2">
        <v>8041.0715180000007</v>
      </c>
      <c r="D23" s="2">
        <f t="shared" si="0"/>
        <v>8.0410715180000008</v>
      </c>
      <c r="E23" s="4"/>
      <c r="F23" s="4"/>
      <c r="G23" s="4"/>
      <c r="H23" s="4"/>
      <c r="I23" s="4"/>
    </row>
    <row r="24" spans="1:9">
      <c r="A24" t="s">
        <v>17</v>
      </c>
      <c r="B24" t="s">
        <v>15</v>
      </c>
      <c r="C24" s="2">
        <v>18342.906935999999</v>
      </c>
      <c r="D24" s="2">
        <f t="shared" si="0"/>
        <v>18.342906935999999</v>
      </c>
      <c r="E24" s="4"/>
      <c r="F24" s="4"/>
      <c r="G24" s="4"/>
      <c r="H24" s="4"/>
      <c r="I24" s="4"/>
    </row>
    <row r="25" spans="1:9">
      <c r="A25" t="s">
        <v>17</v>
      </c>
      <c r="B25" t="s">
        <v>16</v>
      </c>
      <c r="C25" s="2">
        <v>15836.78676628699</v>
      </c>
      <c r="D25" s="2">
        <f t="shared" si="0"/>
        <v>15.836786766286989</v>
      </c>
      <c r="E25" s="4"/>
      <c r="F25" s="4"/>
      <c r="G25" s="4"/>
      <c r="H25" s="4"/>
      <c r="I25" s="4"/>
    </row>
    <row r="26" spans="1:9">
      <c r="A26" t="s">
        <v>18</v>
      </c>
      <c r="B26" t="s">
        <v>5</v>
      </c>
      <c r="C26" s="2">
        <v>29663.616395444187</v>
      </c>
      <c r="D26" s="2">
        <f t="shared" si="0"/>
        <v>29.663616395444187</v>
      </c>
      <c r="E26" s="4"/>
      <c r="F26" s="4"/>
      <c r="G26" s="4"/>
      <c r="H26" s="4"/>
      <c r="I26" s="4"/>
    </row>
    <row r="27" spans="1:9">
      <c r="A27" t="s">
        <v>18</v>
      </c>
      <c r="B27" t="s">
        <v>6</v>
      </c>
      <c r="C27" s="2">
        <v>13812.064074939999</v>
      </c>
      <c r="D27" s="2">
        <f t="shared" si="0"/>
        <v>13.812064074939999</v>
      </c>
      <c r="E27" s="4"/>
      <c r="F27" s="4"/>
      <c r="G27" s="4"/>
      <c r="H27" s="4"/>
      <c r="I27" s="4"/>
    </row>
    <row r="28" spans="1:9">
      <c r="A28" t="s">
        <v>18</v>
      </c>
      <c r="B28" t="s">
        <v>7</v>
      </c>
      <c r="C28" s="2">
        <v>37219.362412172362</v>
      </c>
      <c r="D28" s="2">
        <f t="shared" si="0"/>
        <v>37.219362412172366</v>
      </c>
      <c r="E28" s="4"/>
      <c r="F28" s="4"/>
      <c r="G28" s="4"/>
      <c r="H28" s="4"/>
      <c r="I28" s="4"/>
    </row>
    <row r="29" spans="1:9">
      <c r="A29" t="s">
        <v>18</v>
      </c>
      <c r="B29" t="s">
        <v>8</v>
      </c>
      <c r="C29" s="2">
        <v>8247.0379157649731</v>
      </c>
      <c r="D29" s="2">
        <f t="shared" si="0"/>
        <v>8.2470379157649738</v>
      </c>
      <c r="E29" s="4"/>
      <c r="F29" s="4"/>
      <c r="G29" s="4"/>
      <c r="H29" s="4"/>
      <c r="I29" s="4"/>
    </row>
    <row r="30" spans="1:9">
      <c r="A30" t="s">
        <v>18</v>
      </c>
      <c r="B30" t="s">
        <v>9</v>
      </c>
      <c r="C30" s="2">
        <v>479.07528757198372</v>
      </c>
      <c r="D30" s="2">
        <f t="shared" si="0"/>
        <v>0.4790752875719837</v>
      </c>
      <c r="E30" s="4"/>
      <c r="F30" s="4"/>
      <c r="G30" s="4"/>
      <c r="H30" s="4"/>
      <c r="I30" s="4"/>
    </row>
    <row r="31" spans="1:9">
      <c r="A31" t="s">
        <v>18</v>
      </c>
      <c r="B31" t="s">
        <v>10</v>
      </c>
      <c r="C31" s="2">
        <v>89626.171190736568</v>
      </c>
      <c r="D31" s="2">
        <f t="shared" si="0"/>
        <v>89.626171190736571</v>
      </c>
      <c r="E31" s="4"/>
      <c r="F31" s="4"/>
      <c r="G31" s="4"/>
      <c r="H31" s="4"/>
      <c r="I31" s="4"/>
    </row>
    <row r="32" spans="1:9">
      <c r="A32" t="s">
        <v>18</v>
      </c>
      <c r="B32" t="s">
        <v>11</v>
      </c>
      <c r="C32" s="2">
        <v>781.89494468600708</v>
      </c>
      <c r="D32" s="2">
        <f t="shared" si="0"/>
        <v>0.78189494468600707</v>
      </c>
      <c r="E32" s="4"/>
      <c r="F32" s="4"/>
      <c r="G32" s="4"/>
      <c r="H32" s="4"/>
      <c r="I32" s="4"/>
    </row>
    <row r="33" spans="1:9">
      <c r="A33" t="s">
        <v>18</v>
      </c>
      <c r="B33" t="s">
        <v>12</v>
      </c>
      <c r="C33" s="2">
        <v>4087.2046504577329</v>
      </c>
      <c r="D33" s="2">
        <f t="shared" si="0"/>
        <v>4.0872046504577328</v>
      </c>
      <c r="E33" s="4"/>
      <c r="F33" s="4"/>
      <c r="G33" s="4"/>
      <c r="H33" s="4"/>
      <c r="I33" s="4"/>
    </row>
    <row r="34" spans="1:9">
      <c r="A34" t="s">
        <v>18</v>
      </c>
      <c r="B34" t="s">
        <v>13</v>
      </c>
      <c r="C34" s="2">
        <v>6594.3968201642201</v>
      </c>
      <c r="D34" s="2">
        <f t="shared" ref="D34:D65" si="1">C34/1000</f>
        <v>6.5943968201642198</v>
      </c>
      <c r="E34" s="4"/>
      <c r="F34" s="4"/>
      <c r="G34" s="4"/>
      <c r="H34" s="4"/>
      <c r="I34" s="4"/>
    </row>
    <row r="35" spans="1:9">
      <c r="A35" t="s">
        <v>18</v>
      </c>
      <c r="B35" t="s">
        <v>14</v>
      </c>
      <c r="C35" s="2">
        <v>8807.2478570000003</v>
      </c>
      <c r="D35" s="2">
        <f t="shared" si="1"/>
        <v>8.8072478570000001</v>
      </c>
      <c r="E35" s="4"/>
      <c r="F35" s="4"/>
      <c r="G35" s="4"/>
      <c r="H35" s="4"/>
      <c r="I35" s="4"/>
    </row>
    <row r="36" spans="1:9">
      <c r="A36" t="s">
        <v>18</v>
      </c>
      <c r="B36" t="s">
        <v>15</v>
      </c>
      <c r="C36" s="2">
        <v>20318.538323000004</v>
      </c>
      <c r="D36" s="2">
        <f t="shared" si="1"/>
        <v>20.318538323000006</v>
      </c>
      <c r="E36" s="4"/>
      <c r="F36" s="4"/>
      <c r="G36" s="4"/>
      <c r="H36" s="4"/>
      <c r="I36" s="4"/>
    </row>
    <row r="37" spans="1:9">
      <c r="A37" t="s">
        <v>18</v>
      </c>
      <c r="B37" t="s">
        <v>16</v>
      </c>
      <c r="C37" s="2">
        <v>14622.094194316702</v>
      </c>
      <c r="D37" s="2">
        <f t="shared" si="1"/>
        <v>14.622094194316702</v>
      </c>
      <c r="E37" s="4"/>
      <c r="F37" s="4"/>
      <c r="G37" s="4"/>
      <c r="H37" s="4"/>
      <c r="I37" s="4"/>
    </row>
    <row r="38" spans="1:9">
      <c r="A38" t="s">
        <v>19</v>
      </c>
      <c r="B38" t="s">
        <v>5</v>
      </c>
      <c r="C38" s="2">
        <v>31328.178271612182</v>
      </c>
      <c r="D38" s="2">
        <f t="shared" si="1"/>
        <v>31.328178271612181</v>
      </c>
      <c r="E38" s="4"/>
      <c r="F38" s="4"/>
      <c r="G38" s="4"/>
      <c r="H38" s="4"/>
      <c r="I38" s="4"/>
    </row>
    <row r="39" spans="1:9">
      <c r="A39" t="s">
        <v>19</v>
      </c>
      <c r="B39" t="s">
        <v>6</v>
      </c>
      <c r="C39" s="2">
        <v>13028.440831000002</v>
      </c>
      <c r="D39" s="2">
        <f t="shared" si="1"/>
        <v>13.028440831000001</v>
      </c>
      <c r="E39" s="4"/>
      <c r="F39" s="4"/>
      <c r="G39" s="4"/>
      <c r="H39" s="4"/>
      <c r="I39" s="4"/>
    </row>
    <row r="40" spans="1:9">
      <c r="A40" t="s">
        <v>19</v>
      </c>
      <c r="B40" t="s">
        <v>7</v>
      </c>
      <c r="C40" s="2">
        <v>40004.537126939271</v>
      </c>
      <c r="D40" s="2">
        <f t="shared" si="1"/>
        <v>40.004537126939269</v>
      </c>
      <c r="E40" s="4"/>
      <c r="F40" s="4"/>
      <c r="G40" s="4"/>
      <c r="H40" s="4"/>
      <c r="I40" s="4"/>
    </row>
    <row r="41" spans="1:9">
      <c r="A41" t="s">
        <v>19</v>
      </c>
      <c r="B41" t="s">
        <v>8</v>
      </c>
      <c r="C41" s="2">
        <v>8984.6894583409558</v>
      </c>
      <c r="D41" s="2">
        <f t="shared" si="1"/>
        <v>8.9846894583409558</v>
      </c>
      <c r="E41" s="4"/>
      <c r="F41" s="4"/>
      <c r="G41" s="4"/>
      <c r="H41" s="4"/>
      <c r="I41" s="4"/>
    </row>
    <row r="42" spans="1:9">
      <c r="A42" t="s">
        <v>19</v>
      </c>
      <c r="B42" t="s">
        <v>9</v>
      </c>
      <c r="C42" s="2">
        <v>407.74494099455256</v>
      </c>
      <c r="D42" s="2">
        <f t="shared" si="1"/>
        <v>0.40774494099455255</v>
      </c>
      <c r="E42" s="4"/>
      <c r="F42" s="4"/>
      <c r="G42" s="4"/>
      <c r="H42" s="4"/>
      <c r="I42" s="4"/>
    </row>
    <row r="43" spans="1:9">
      <c r="A43" t="s">
        <v>19</v>
      </c>
      <c r="B43" t="s">
        <v>10</v>
      </c>
      <c r="C43" s="2">
        <v>91407.335042480496</v>
      </c>
      <c r="D43" s="2">
        <f t="shared" si="1"/>
        <v>91.407335042480497</v>
      </c>
      <c r="E43" s="4"/>
      <c r="F43" s="4"/>
      <c r="G43" s="4"/>
      <c r="H43" s="4"/>
      <c r="I43" s="4"/>
    </row>
    <row r="44" spans="1:9">
      <c r="A44" t="s">
        <v>19</v>
      </c>
      <c r="B44" t="s">
        <v>11</v>
      </c>
      <c r="C44" s="2">
        <v>838.1804224180886</v>
      </c>
      <c r="D44" s="2">
        <f t="shared" si="1"/>
        <v>0.83818042241808854</v>
      </c>
      <c r="E44" s="4"/>
      <c r="F44" s="4"/>
      <c r="G44" s="4"/>
      <c r="H44" s="4"/>
      <c r="I44" s="4"/>
    </row>
    <row r="45" spans="1:9">
      <c r="A45" t="s">
        <v>19</v>
      </c>
      <c r="B45" t="s">
        <v>12</v>
      </c>
      <c r="C45" s="2">
        <v>4580.7376117979738</v>
      </c>
      <c r="D45" s="2">
        <f t="shared" si="1"/>
        <v>4.5807376117979741</v>
      </c>
      <c r="E45" s="4"/>
      <c r="F45" s="4"/>
      <c r="G45" s="4"/>
      <c r="H45" s="4"/>
      <c r="I45" s="4"/>
    </row>
    <row r="46" spans="1:9">
      <c r="A46" t="s">
        <v>19</v>
      </c>
      <c r="B46" t="s">
        <v>13</v>
      </c>
      <c r="C46" s="2">
        <v>6497.295397950058</v>
      </c>
      <c r="D46" s="2">
        <f t="shared" si="1"/>
        <v>6.4972953979500581</v>
      </c>
      <c r="E46" s="4"/>
      <c r="F46" s="4"/>
      <c r="G46" s="4"/>
      <c r="H46" s="4"/>
      <c r="I46" s="4"/>
    </row>
    <row r="47" spans="1:9">
      <c r="A47" t="s">
        <v>19</v>
      </c>
      <c r="B47" t="s">
        <v>14</v>
      </c>
      <c r="C47" s="2">
        <v>8581.5429005000005</v>
      </c>
      <c r="D47" s="2">
        <f t="shared" si="1"/>
        <v>8.5815429005000006</v>
      </c>
      <c r="E47" s="4"/>
      <c r="F47" s="4"/>
      <c r="G47" s="4"/>
      <c r="H47" s="4"/>
      <c r="I47" s="4"/>
    </row>
    <row r="48" spans="1:9">
      <c r="A48" t="s">
        <v>19</v>
      </c>
      <c r="B48" t="s">
        <v>15</v>
      </c>
      <c r="C48" s="2">
        <v>22002.273545</v>
      </c>
      <c r="D48" s="2">
        <f t="shared" si="1"/>
        <v>22.002273545000001</v>
      </c>
      <c r="E48" s="4"/>
      <c r="F48" s="4"/>
      <c r="G48" s="4"/>
      <c r="H48" s="4"/>
      <c r="I48" s="4"/>
    </row>
    <row r="49" spans="1:9">
      <c r="A49" t="s">
        <v>19</v>
      </c>
      <c r="B49" t="s">
        <v>16</v>
      </c>
      <c r="C49" s="2">
        <v>11560.52121257717</v>
      </c>
      <c r="D49" s="2">
        <f t="shared" si="1"/>
        <v>11.56052121257717</v>
      </c>
      <c r="E49" s="4"/>
      <c r="F49" s="4"/>
      <c r="G49" s="4"/>
      <c r="H49" s="4"/>
      <c r="I49" s="4"/>
    </row>
    <row r="50" spans="1:9">
      <c r="A50" t="s">
        <v>20</v>
      </c>
      <c r="B50" t="s">
        <v>5</v>
      </c>
      <c r="C50" s="2">
        <v>33211.739690661998</v>
      </c>
      <c r="D50" s="2">
        <f t="shared" si="1"/>
        <v>33.211739690662</v>
      </c>
      <c r="E50" s="4"/>
      <c r="F50" s="4"/>
      <c r="G50" s="4"/>
      <c r="H50" s="4"/>
      <c r="I50" s="4"/>
    </row>
    <row r="51" spans="1:9">
      <c r="A51" t="s">
        <v>20</v>
      </c>
      <c r="B51" t="s">
        <v>6</v>
      </c>
      <c r="C51" s="2">
        <v>11741.026617333999</v>
      </c>
      <c r="D51" s="2">
        <f t="shared" si="1"/>
        <v>11.741026617333999</v>
      </c>
      <c r="E51" s="4"/>
      <c r="F51" s="4"/>
      <c r="G51" s="4"/>
      <c r="H51" s="4"/>
      <c r="I51" s="4"/>
    </row>
    <row r="52" spans="1:9">
      <c r="A52" t="s">
        <v>20</v>
      </c>
      <c r="B52" t="s">
        <v>7</v>
      </c>
      <c r="C52" s="2">
        <v>42586.187761012479</v>
      </c>
      <c r="D52" s="2">
        <f t="shared" si="1"/>
        <v>42.586187761012482</v>
      </c>
      <c r="E52" s="4"/>
      <c r="F52" s="4"/>
      <c r="G52" s="4"/>
      <c r="H52" s="4"/>
      <c r="I52" s="4"/>
    </row>
    <row r="53" spans="1:9">
      <c r="A53" t="s">
        <v>20</v>
      </c>
      <c r="B53" t="s">
        <v>8</v>
      </c>
      <c r="C53" s="2">
        <v>9161.3985227124449</v>
      </c>
      <c r="D53" s="2">
        <f t="shared" si="1"/>
        <v>9.1613985227124441</v>
      </c>
      <c r="E53" s="4"/>
      <c r="F53" s="4"/>
      <c r="G53" s="4"/>
      <c r="H53" s="4"/>
      <c r="I53" s="4"/>
    </row>
    <row r="54" spans="1:9">
      <c r="A54" t="s">
        <v>20</v>
      </c>
      <c r="B54" t="s">
        <v>9</v>
      </c>
      <c r="C54" s="2">
        <v>459.64324241245146</v>
      </c>
      <c r="D54" s="2">
        <f t="shared" si="1"/>
        <v>0.45964324241245147</v>
      </c>
      <c r="E54" s="4"/>
      <c r="F54" s="4"/>
      <c r="G54" s="4"/>
      <c r="H54" s="4"/>
      <c r="I54" s="4"/>
    </row>
    <row r="55" spans="1:9">
      <c r="A55" t="s">
        <v>20</v>
      </c>
      <c r="B55" t="s">
        <v>10</v>
      </c>
      <c r="C55" s="2">
        <v>94704.823198322163</v>
      </c>
      <c r="D55" s="2">
        <f t="shared" si="1"/>
        <v>94.70482319832216</v>
      </c>
      <c r="E55" s="4"/>
      <c r="F55" s="4"/>
      <c r="G55" s="4"/>
      <c r="H55" s="4"/>
      <c r="I55" s="4"/>
    </row>
    <row r="56" spans="1:9">
      <c r="A56" t="s">
        <v>20</v>
      </c>
      <c r="B56" t="s">
        <v>11</v>
      </c>
      <c r="C56" s="2">
        <v>1009.3309206143346</v>
      </c>
      <c r="D56" s="2">
        <f t="shared" si="1"/>
        <v>1.0093309206143346</v>
      </c>
      <c r="E56" s="4"/>
      <c r="F56" s="4"/>
      <c r="G56" s="4"/>
      <c r="H56" s="4"/>
      <c r="I56" s="4"/>
    </row>
    <row r="57" spans="1:9">
      <c r="A57" t="s">
        <v>20</v>
      </c>
      <c r="B57" t="s">
        <v>12</v>
      </c>
      <c r="C57" s="2">
        <v>4914.4834648130636</v>
      </c>
      <c r="D57" s="2">
        <f t="shared" si="1"/>
        <v>4.9144834648130633</v>
      </c>
      <c r="E57" s="4"/>
      <c r="F57" s="4"/>
      <c r="G57" s="4"/>
      <c r="H57" s="4"/>
      <c r="I57" s="4"/>
    </row>
    <row r="58" spans="1:9">
      <c r="A58" t="s">
        <v>20</v>
      </c>
      <c r="B58" t="s">
        <v>13</v>
      </c>
      <c r="C58" s="2">
        <v>6405.8075995199388</v>
      </c>
      <c r="D58" s="2">
        <f t="shared" si="1"/>
        <v>6.4058075995199388</v>
      </c>
      <c r="E58" s="4"/>
      <c r="F58" s="4"/>
      <c r="G58" s="4"/>
      <c r="H58" s="4"/>
      <c r="I58" s="4"/>
    </row>
    <row r="59" spans="1:9">
      <c r="A59" t="s">
        <v>20</v>
      </c>
      <c r="B59" t="s">
        <v>14</v>
      </c>
      <c r="C59" s="2">
        <v>8841.2066269999996</v>
      </c>
      <c r="D59" s="2">
        <f t="shared" si="1"/>
        <v>8.841206627</v>
      </c>
      <c r="E59" s="4"/>
      <c r="F59" s="4"/>
      <c r="G59" s="4"/>
      <c r="H59" s="4"/>
      <c r="I59" s="4"/>
    </row>
    <row r="60" spans="1:9">
      <c r="A60" t="s">
        <v>20</v>
      </c>
      <c r="B60" t="s">
        <v>15</v>
      </c>
      <c r="C60" s="2">
        <v>19844.561689500002</v>
      </c>
      <c r="D60" s="2">
        <f t="shared" si="1"/>
        <v>19.844561689500001</v>
      </c>
      <c r="E60" s="4"/>
      <c r="F60" s="4"/>
      <c r="G60" s="4"/>
      <c r="H60" s="4"/>
      <c r="I60" s="4"/>
    </row>
    <row r="61" spans="1:9">
      <c r="A61" t="s">
        <v>20</v>
      </c>
      <c r="B61" t="s">
        <v>16</v>
      </c>
      <c r="C61" s="2">
        <v>10321.971018055523</v>
      </c>
      <c r="D61" s="2">
        <f t="shared" si="1"/>
        <v>10.321971018055523</v>
      </c>
      <c r="E61" s="4"/>
      <c r="F61" s="4"/>
      <c r="G61" s="4"/>
      <c r="H61" s="4"/>
      <c r="I6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pane ySplit="1" topLeftCell="A2" activePane="bottomLeft" state="frozen"/>
      <selection pane="bottomLeft" activeCell="D10" sqref="D10"/>
    </sheetView>
  </sheetViews>
  <sheetFormatPr defaultRowHeight="13.8"/>
  <cols>
    <col min="1" max="1" width="24" customWidth="1"/>
    <col min="2" max="7" width="21" customWidth="1"/>
  </cols>
  <sheetData>
    <row r="1" spans="1:7" ht="30" customHeight="1">
      <c r="A1" s="1" t="s">
        <v>0</v>
      </c>
      <c r="B1" s="1" t="s">
        <v>2</v>
      </c>
      <c r="C1" s="1" t="s">
        <v>3</v>
      </c>
      <c r="D1" s="3"/>
      <c r="E1" s="3"/>
      <c r="F1" s="3"/>
      <c r="G1" s="3"/>
    </row>
    <row r="2" spans="1:7">
      <c r="A2" t="s">
        <v>4</v>
      </c>
      <c r="B2">
        <v>201696.65773166894</v>
      </c>
      <c r="C2">
        <f>B2/1000</f>
        <v>201.69665773166895</v>
      </c>
    </row>
    <row r="3" spans="1:7">
      <c r="A3" t="s">
        <v>17</v>
      </c>
      <c r="B3">
        <v>223021.83041329781</v>
      </c>
      <c r="C3">
        <f>B3/1000</f>
        <v>223.02183041329781</v>
      </c>
    </row>
    <row r="4" spans="1:7">
      <c r="A4" t="s">
        <v>18</v>
      </c>
      <c r="B4">
        <v>234258.70406625478</v>
      </c>
      <c r="C4">
        <f>B4/1000</f>
        <v>234.25870406625478</v>
      </c>
    </row>
    <row r="5" spans="1:7">
      <c r="A5" t="s">
        <v>19</v>
      </c>
      <c r="B5">
        <v>239221.47676161074</v>
      </c>
      <c r="C5">
        <f>B5/1000</f>
        <v>239.22147676161075</v>
      </c>
    </row>
    <row r="6" spans="1:7">
      <c r="A6" t="s">
        <v>20</v>
      </c>
      <c r="B6">
        <v>243202.18035195838</v>
      </c>
      <c r="C6">
        <f>B6/1000</f>
        <v>243.20218035195839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pane ySplit="1" topLeftCell="A2" activePane="bottomLeft" state="frozen"/>
      <selection pane="bottomLeft" activeCell="C1" sqref="C1"/>
    </sheetView>
  </sheetViews>
  <sheetFormatPr defaultRowHeight="13.8"/>
  <cols>
    <col min="1" max="1" width="24" customWidth="1"/>
    <col min="2" max="7" width="21" customWidth="1"/>
  </cols>
  <sheetData>
    <row r="1" spans="1:8" ht="30" customHeight="1">
      <c r="A1" s="1" t="s">
        <v>0</v>
      </c>
      <c r="B1" s="1" t="s">
        <v>21</v>
      </c>
      <c r="C1" s="3"/>
      <c r="D1" s="3"/>
      <c r="E1" s="3"/>
      <c r="F1" s="3"/>
      <c r="G1" s="3"/>
      <c r="H1" s="4"/>
    </row>
    <row r="2" spans="1:8">
      <c r="A2" t="s">
        <v>4</v>
      </c>
      <c r="B2">
        <v>28.447655837322003</v>
      </c>
      <c r="C2" s="4"/>
      <c r="D2" s="4"/>
      <c r="E2" s="4"/>
      <c r="F2" s="4"/>
      <c r="G2" s="4"/>
      <c r="H2" s="4"/>
    </row>
    <row r="3" spans="1:8">
      <c r="A3" t="s">
        <v>17</v>
      </c>
      <c r="B3">
        <v>27.827358827786576</v>
      </c>
      <c r="C3" s="4"/>
      <c r="D3" s="4"/>
      <c r="E3" s="4"/>
      <c r="F3" s="4"/>
      <c r="G3" s="4"/>
      <c r="H3" s="4"/>
    </row>
    <row r="4" spans="1:8">
      <c r="A4" t="s">
        <v>18</v>
      </c>
      <c r="B4">
        <v>27.168366318375</v>
      </c>
      <c r="C4" s="4"/>
      <c r="D4" s="4"/>
      <c r="E4" s="4"/>
      <c r="F4" s="4"/>
      <c r="G4" s="4"/>
      <c r="H4" s="4"/>
    </row>
    <row r="5" spans="1:8">
      <c r="A5" t="s">
        <v>19</v>
      </c>
      <c r="B5">
        <v>26.49</v>
      </c>
      <c r="C5" s="4"/>
      <c r="D5" s="4"/>
      <c r="E5" s="4"/>
      <c r="F5" s="4"/>
      <c r="G5" s="4"/>
      <c r="H5" s="4"/>
    </row>
    <row r="6" spans="1:8">
      <c r="A6" t="s">
        <v>20</v>
      </c>
      <c r="B6">
        <v>25.979663310337127</v>
      </c>
      <c r="C6" s="4"/>
      <c r="D6" s="4"/>
      <c r="E6" s="4"/>
      <c r="F6" s="4"/>
      <c r="G6" s="4"/>
      <c r="H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pane ySplit="1" topLeftCell="A2" activePane="bottomLeft" state="frozen"/>
      <selection pane="bottomLeft" activeCell="D15" sqref="D15"/>
    </sheetView>
  </sheetViews>
  <sheetFormatPr defaultRowHeight="13.8"/>
  <cols>
    <col min="1" max="1" width="24" customWidth="1"/>
    <col min="2" max="2" width="21" customWidth="1"/>
    <col min="3" max="3" width="27" customWidth="1"/>
    <col min="4" max="7" width="21" customWidth="1"/>
  </cols>
  <sheetData>
    <row r="1" spans="1:7" ht="30" customHeight="1">
      <c r="A1" s="1" t="s">
        <v>0</v>
      </c>
      <c r="B1" s="1" t="s">
        <v>2</v>
      </c>
      <c r="C1" s="1" t="s">
        <v>22</v>
      </c>
      <c r="D1" s="3"/>
      <c r="E1" s="3"/>
      <c r="F1" s="3"/>
      <c r="G1" s="3"/>
    </row>
    <row r="2" spans="1:7">
      <c r="A2" t="s">
        <v>4</v>
      </c>
      <c r="B2">
        <v>212381.6224362395</v>
      </c>
      <c r="C2">
        <f>B2/1000</f>
        <v>212.3816224362395</v>
      </c>
    </row>
    <row r="3" spans="1:7">
      <c r="A3" t="s">
        <v>17</v>
      </c>
      <c r="B3">
        <v>232700.41197882604</v>
      </c>
      <c r="C3">
        <f>B3/1000</f>
        <v>232.70041197882605</v>
      </c>
    </row>
    <row r="4" spans="1:7">
      <c r="A4" t="s">
        <v>18</v>
      </c>
      <c r="B4">
        <v>234261.57957307791</v>
      </c>
      <c r="C4">
        <f>B4/1000</f>
        <v>234.26157957307791</v>
      </c>
    </row>
    <row r="5" spans="1:7">
      <c r="A5" t="s">
        <v>19</v>
      </c>
      <c r="B5">
        <v>243224.97136204902</v>
      </c>
      <c r="C5">
        <f>B5/1000</f>
        <v>243.22497136204902</v>
      </c>
    </row>
    <row r="6" spans="1:7">
      <c r="A6" t="s">
        <v>20</v>
      </c>
      <c r="B6">
        <v>246600.70910193204</v>
      </c>
      <c r="C6">
        <f>B6/1000</f>
        <v>246.60070910193204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pane ySplit="1" topLeftCell="A2" activePane="bottomLeft" state="frozen"/>
      <selection pane="bottomLeft" activeCell="D20" sqref="D20"/>
    </sheetView>
  </sheetViews>
  <sheetFormatPr defaultRowHeight="13.8"/>
  <cols>
    <col min="1" max="1" width="24" customWidth="1"/>
    <col min="2" max="3" width="21" customWidth="1"/>
    <col min="4" max="4" width="26.5" customWidth="1"/>
    <col min="5" max="7" width="21" customWidth="1"/>
  </cols>
  <sheetData>
    <row r="1" spans="1:7" ht="30" customHeight="1">
      <c r="A1" s="1" t="s">
        <v>0</v>
      </c>
      <c r="B1" s="1" t="s">
        <v>23</v>
      </c>
      <c r="C1" s="1" t="s">
        <v>2</v>
      </c>
      <c r="D1" s="1" t="s">
        <v>24</v>
      </c>
      <c r="E1" s="3"/>
      <c r="F1" s="3"/>
      <c r="G1" s="3"/>
    </row>
    <row r="2" spans="1:7">
      <c r="A2" t="s">
        <v>4</v>
      </c>
      <c r="B2" t="s">
        <v>25</v>
      </c>
      <c r="C2">
        <v>248866</v>
      </c>
      <c r="D2">
        <f>C2/1000</f>
        <v>248.86600000000001</v>
      </c>
      <c r="E2" s="4"/>
      <c r="F2" s="4"/>
      <c r="G2" s="4"/>
    </row>
    <row r="3" spans="1:7">
      <c r="A3" t="s">
        <v>17</v>
      </c>
      <c r="B3" t="s">
        <v>26</v>
      </c>
      <c r="C3">
        <v>251216</v>
      </c>
      <c r="D3">
        <f>C3/1000</f>
        <v>251.21600000000001</v>
      </c>
      <c r="E3" s="4"/>
      <c r="F3" s="4"/>
      <c r="G3" s="4"/>
    </row>
    <row r="4" spans="1:7">
      <c r="A4" t="s">
        <v>18</v>
      </c>
      <c r="B4" t="s">
        <v>27</v>
      </c>
      <c r="C4">
        <v>253916</v>
      </c>
      <c r="D4">
        <f>C4/1000</f>
        <v>253.916</v>
      </c>
      <c r="E4" s="4"/>
      <c r="F4" s="4"/>
      <c r="G4" s="4"/>
    </row>
    <row r="5" spans="1:7">
      <c r="A5" t="s">
        <v>19</v>
      </c>
      <c r="B5" t="s">
        <v>28</v>
      </c>
      <c r="C5">
        <v>256816</v>
      </c>
      <c r="D5">
        <f>C5/1000</f>
        <v>256.81599999999997</v>
      </c>
      <c r="E5" s="4"/>
      <c r="F5" s="4"/>
      <c r="G5" s="4"/>
    </row>
    <row r="6" spans="1:7">
      <c r="A6" t="s">
        <v>20</v>
      </c>
      <c r="B6" t="s">
        <v>29</v>
      </c>
      <c r="C6">
        <v>258116</v>
      </c>
      <c r="D6">
        <f>C6/1000</f>
        <v>258.11599999999999</v>
      </c>
      <c r="E6" s="4"/>
      <c r="F6" s="4"/>
      <c r="G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pane ySplit="1" topLeftCell="A2" activePane="bottomLeft" state="frozen"/>
      <selection pane="bottomLeft" activeCell="C2" sqref="C2"/>
    </sheetView>
  </sheetViews>
  <sheetFormatPr defaultRowHeight="13.8"/>
  <cols>
    <col min="1" max="1" width="24" customWidth="1"/>
    <col min="2" max="2" width="21" customWidth="1"/>
    <col min="3" max="3" width="39.296875" customWidth="1"/>
    <col min="4" max="7" width="21" customWidth="1"/>
  </cols>
  <sheetData>
    <row r="1" spans="1:7" ht="30" customHeight="1">
      <c r="A1" s="1" t="s">
        <v>0</v>
      </c>
      <c r="B1" s="1" t="s">
        <v>2</v>
      </c>
      <c r="C1" s="1" t="s">
        <v>30</v>
      </c>
      <c r="D1" s="3"/>
      <c r="E1" s="3"/>
      <c r="F1" s="3"/>
      <c r="G1" s="3"/>
    </row>
    <row r="2" spans="1:7">
      <c r="A2" t="s">
        <v>4</v>
      </c>
      <c r="B2">
        <v>241703.64543717145</v>
      </c>
      <c r="C2">
        <f>B2/1000</f>
        <v>241.70364543717145</v>
      </c>
      <c r="D2" s="4"/>
      <c r="E2" s="4"/>
      <c r="F2" s="4"/>
      <c r="G2" s="4"/>
    </row>
    <row r="3" spans="1:7">
      <c r="A3" t="s">
        <v>17</v>
      </c>
      <c r="B3">
        <v>255232.12164050783</v>
      </c>
      <c r="C3">
        <f>B3/1000</f>
        <v>255.23212164050784</v>
      </c>
      <c r="D3" s="4"/>
      <c r="E3" s="4"/>
      <c r="F3" s="4"/>
      <c r="G3" s="4"/>
    </row>
    <row r="4" spans="1:7">
      <c r="A4" t="s">
        <v>18</v>
      </c>
      <c r="B4">
        <v>261546.00737294287</v>
      </c>
      <c r="C4">
        <f>B4/1000</f>
        <v>261.54600737294288</v>
      </c>
      <c r="D4" s="4"/>
      <c r="E4" s="4"/>
      <c r="F4" s="4"/>
      <c r="G4" s="4"/>
    </row>
    <row r="5" spans="1:7">
      <c r="A5" t="s">
        <v>19</v>
      </c>
      <c r="B5">
        <v>268613.32683353225</v>
      </c>
      <c r="C5">
        <f>B5/1000</f>
        <v>268.61332683353226</v>
      </c>
      <c r="D5" s="4"/>
      <c r="E5" s="4"/>
      <c r="F5" s="4"/>
      <c r="G5" s="4"/>
    </row>
    <row r="6" spans="1:7">
      <c r="A6" t="s">
        <v>20</v>
      </c>
      <c r="B6">
        <v>271991.18110495206</v>
      </c>
      <c r="C6">
        <f>B6/1000</f>
        <v>271.99118110495203</v>
      </c>
      <c r="D6" s="4"/>
      <c r="E6" s="4"/>
      <c r="F6" s="4"/>
      <c r="G6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"/>
  <sheetViews>
    <sheetView workbookViewId="0">
      <pane ySplit="1" topLeftCell="A2" activePane="bottomLeft" state="frozen"/>
      <selection pane="bottomLeft" activeCell="E2" sqref="E2"/>
    </sheetView>
  </sheetViews>
  <sheetFormatPr defaultRowHeight="13.8"/>
  <cols>
    <col min="1" max="1" width="24" customWidth="1"/>
    <col min="2" max="4" width="21" customWidth="1"/>
    <col min="5" max="5" width="30.796875" customWidth="1"/>
    <col min="6" max="9" width="21" customWidth="1"/>
  </cols>
  <sheetData>
    <row r="1" spans="1:9" ht="30" customHeight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3"/>
      <c r="G1" s="3"/>
      <c r="H1" s="3"/>
      <c r="I1" s="3"/>
    </row>
    <row r="2" spans="1:9">
      <c r="A2" t="s">
        <v>4</v>
      </c>
      <c r="B2">
        <v>33131.233610000003</v>
      </c>
      <c r="C2">
        <v>31027.563030000001</v>
      </c>
      <c r="D2">
        <v>64158.796649999997</v>
      </c>
      <c r="E2">
        <f>B2+C2</f>
        <v>64158.79664</v>
      </c>
      <c r="F2" s="4"/>
      <c r="G2" s="4"/>
      <c r="H2" s="4"/>
      <c r="I2" s="4"/>
    </row>
    <row r="3" spans="1:9">
      <c r="A3" t="s">
        <v>17</v>
      </c>
      <c r="B3">
        <v>33664.359080000002</v>
      </c>
      <c r="C3">
        <v>26304.411990000001</v>
      </c>
      <c r="D3">
        <v>59968.771070000003</v>
      </c>
      <c r="E3">
        <f>B3+C3</f>
        <v>59968.771070000003</v>
      </c>
      <c r="F3" s="4"/>
      <c r="G3" s="4"/>
      <c r="H3" s="4"/>
      <c r="I3" s="4"/>
    </row>
    <row r="4" spans="1:9">
      <c r="A4" t="s">
        <v>18</v>
      </c>
      <c r="B4">
        <v>35716.932710000001</v>
      </c>
      <c r="C4">
        <v>31795.20148</v>
      </c>
      <c r="D4">
        <v>67512.134189999997</v>
      </c>
      <c r="E4">
        <f>B4+C4</f>
        <v>67512.134189999997</v>
      </c>
      <c r="F4" s="4"/>
      <c r="G4" s="4"/>
      <c r="H4" s="4"/>
      <c r="I4" s="4"/>
    </row>
    <row r="5" spans="1:9">
      <c r="A5" t="s">
        <v>19</v>
      </c>
      <c r="B5">
        <v>35593.856180000002</v>
      </c>
      <c r="C5">
        <v>35720.305099999998</v>
      </c>
      <c r="D5">
        <v>71314.16128</v>
      </c>
      <c r="E5">
        <f>B5+C5</f>
        <v>71314.16128</v>
      </c>
      <c r="F5" s="4"/>
      <c r="G5" s="4"/>
      <c r="H5" s="4"/>
      <c r="I5" s="4"/>
    </row>
    <row r="6" spans="1:9">
      <c r="A6" t="s">
        <v>20</v>
      </c>
      <c r="B6">
        <v>34326.230430000003</v>
      </c>
      <c r="C6">
        <v>34426.682285625</v>
      </c>
      <c r="D6">
        <v>68752.912715625003</v>
      </c>
      <c r="E6">
        <f>B6+C6</f>
        <v>68752.912715625003</v>
      </c>
      <c r="F6" s="4"/>
      <c r="G6" s="4"/>
      <c r="H6" s="4"/>
      <c r="I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4" customWidth="1"/>
    <col min="2" max="13" width="21" customWidth="1"/>
  </cols>
  <sheetData>
    <row r="1" spans="1:13" ht="30" customHeight="1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32</v>
      </c>
      <c r="L1" s="1" t="s">
        <v>44</v>
      </c>
      <c r="M1" s="1" t="s">
        <v>45</v>
      </c>
    </row>
    <row r="2" spans="1:13">
      <c r="A2" t="s">
        <v>4</v>
      </c>
      <c r="B2" s="2">
        <f>Petroleum_Totals!C2</f>
        <v>201.69665773166895</v>
      </c>
      <c r="C2" s="2">
        <f>Domestic_Crude!B2</f>
        <v>28.447655837322003</v>
      </c>
      <c r="D2" s="2">
        <f>Crude_Imports!C2</f>
        <v>212.3816224362395</v>
      </c>
      <c r="E2" s="2">
        <f>D2/(C2+D2)*100</f>
        <v>88.187625673566188</v>
      </c>
      <c r="F2" s="2">
        <f>Refining_Capacity!D2</f>
        <v>248.86600000000001</v>
      </c>
      <c r="G2" s="2">
        <f>Refinery_Throughput!C2</f>
        <v>241.70364543717145</v>
      </c>
      <c r="H2" s="2">
        <f>G2/F2*100</f>
        <v>97.122003583121611</v>
      </c>
      <c r="I2" s="2">
        <f>Natural_Gas!D2</f>
        <v>64158.796649999997</v>
      </c>
      <c r="J2" s="2">
        <f>Natural_Gas!B2</f>
        <v>33131.233610000003</v>
      </c>
      <c r="K2" s="2">
        <f>Natural_Gas!C2</f>
        <v>31027.563030000001</v>
      </c>
      <c r="L2" s="2">
        <f>B2-SUMIFS(Petroleum_Products!$D$2:$D$61,Petroleum_Products!$A$2:$A$61,A2,Petroleum_Products!$B$2:$B$61,"LPG")-SUMIFS(Petroleum_Products!$D$2:$D$61,Petroleum_Products!$A$2:$A$61,A2,Petroleum_Products!$B$2:$B$61,"MS")-SUMIFS(Petroleum_Products!$D$2:$D$61,Petroleum_Products!$A$2:$A$61,A2,Petroleum_Products!$B$2:$B$61,"HSD")-SUMIFS(Petroleum_Products!$D$2:$D$61,Petroleum_Products!$A$2:$A$61,A2,Petroleum_Products!$B$2:$B$61,"ATF")</f>
        <v>60.927531503516271</v>
      </c>
      <c r="M2" t="s">
        <v>46</v>
      </c>
    </row>
    <row r="3" spans="1:13">
      <c r="A3" t="s">
        <v>17</v>
      </c>
      <c r="B3" s="2">
        <f>Petroleum_Totals!C3</f>
        <v>223.02183041329781</v>
      </c>
      <c r="C3" s="2">
        <f>Domestic_Crude!B3</f>
        <v>27.827358827786576</v>
      </c>
      <c r="D3" s="2">
        <f>Crude_Imports!C3</f>
        <v>232.70041197882605</v>
      </c>
      <c r="E3" s="2">
        <f>D3/(C3+D3)*100</f>
        <v>89.318851214351895</v>
      </c>
      <c r="F3" s="2">
        <f>Refining_Capacity!D3</f>
        <v>251.21600000000001</v>
      </c>
      <c r="G3" s="2">
        <f>Refinery_Throughput!C3</f>
        <v>255.23212164050784</v>
      </c>
      <c r="H3" s="2">
        <f>G3/F3*100</f>
        <v>101.59867271213132</v>
      </c>
      <c r="I3" s="2">
        <f>Natural_Gas!D3</f>
        <v>59968.771070000003</v>
      </c>
      <c r="J3" s="2">
        <f>Natural_Gas!B3</f>
        <v>33664.359080000002</v>
      </c>
      <c r="K3" s="2">
        <f>Natural_Gas!C3</f>
        <v>26304.411990000001</v>
      </c>
      <c r="L3" s="2">
        <f>B3-SUMIFS(Petroleum_Products!$D$2:$D$61,Petroleum_Products!$A$2:$A$61,A3,Petroleum_Products!$B$2:$B$61,"LPG")-SUMIFS(Petroleum_Products!$D$2:$D$61,Petroleum_Products!$A$2:$A$61,A3,Petroleum_Products!$B$2:$B$61,"MS")-SUMIFS(Petroleum_Products!$D$2:$D$61,Petroleum_Products!$A$2:$A$61,A3,Petroleum_Products!$B$2:$B$61,"HSD")-SUMIFS(Petroleum_Products!$D$2:$D$61,Petroleum_Products!$A$2:$A$61,A3,Petroleum_Products!$B$2:$B$61,"ATF")</f>
        <v>66.263106060122524</v>
      </c>
      <c r="M3" t="s">
        <v>46</v>
      </c>
    </row>
    <row r="4" spans="1:13">
      <c r="A4" t="s">
        <v>18</v>
      </c>
      <c r="B4" s="2">
        <f>Petroleum_Totals!C4</f>
        <v>234.25870406625478</v>
      </c>
      <c r="C4" s="2">
        <f>Domestic_Crude!B4</f>
        <v>27.168366318375</v>
      </c>
      <c r="D4" s="2">
        <f>Crude_Imports!C4</f>
        <v>234.26157957307791</v>
      </c>
      <c r="E4" s="2">
        <f>D4/(C4+D4)*100</f>
        <v>89.607783367841321</v>
      </c>
      <c r="F4" s="2">
        <f>Refining_Capacity!D4</f>
        <v>253.916</v>
      </c>
      <c r="G4" s="2">
        <f>Refinery_Throughput!C4</f>
        <v>261.54600737294288</v>
      </c>
      <c r="H4" s="2">
        <f>G4/F4*100</f>
        <v>103.00493366819849</v>
      </c>
      <c r="I4" s="2">
        <f>Natural_Gas!D4</f>
        <v>67512.134189999997</v>
      </c>
      <c r="J4" s="2">
        <f>Natural_Gas!B4</f>
        <v>35716.932710000001</v>
      </c>
      <c r="K4" s="2">
        <f>Natural_Gas!C4</f>
        <v>31795.20148</v>
      </c>
      <c r="L4" s="2">
        <f>B4-SUMIFS(Petroleum_Products!$D$2:$D$61,Petroleum_Products!$A$2:$A$61,A4,Petroleum_Products!$B$2:$B$61,"LPG")-SUMIFS(Petroleum_Products!$D$2:$D$61,Petroleum_Products!$A$2:$A$61,A4,Petroleum_Products!$B$2:$B$61,"MS")-SUMIFS(Petroleum_Products!$D$2:$D$61,Petroleum_Products!$A$2:$A$61,A4,Petroleum_Products!$B$2:$B$61,"HSD")-SUMIFS(Petroleum_Products!$D$2:$D$61,Petroleum_Products!$A$2:$A$61,A4,Petroleum_Products!$B$2:$B$61,"ATF")</f>
        <v>69.502516152136678</v>
      </c>
      <c r="M4" t="s">
        <v>46</v>
      </c>
    </row>
    <row r="5" spans="1:13">
      <c r="A5" t="s">
        <v>19</v>
      </c>
      <c r="B5" s="2">
        <f>Petroleum_Totals!C5</f>
        <v>239.22147676161075</v>
      </c>
      <c r="C5" s="2">
        <f>Domestic_Crude!B5</f>
        <v>26.49</v>
      </c>
      <c r="D5" s="2">
        <f>Crude_Imports!C5</f>
        <v>243.22497136204902</v>
      </c>
      <c r="E5" s="2">
        <f>D5/(C5+D5)*100</f>
        <v>90.17852073015203</v>
      </c>
      <c r="F5" s="2">
        <f>Refining_Capacity!D5</f>
        <v>256.81599999999997</v>
      </c>
      <c r="G5" s="2">
        <f>Refinery_Throughput!C5</f>
        <v>268.61332683353226</v>
      </c>
      <c r="H5" s="2">
        <f>G5/F5*100</f>
        <v>104.59368841253361</v>
      </c>
      <c r="I5" s="2">
        <f>Natural_Gas!D5</f>
        <v>71314.16128</v>
      </c>
      <c r="J5" s="2">
        <f>Natural_Gas!B5</f>
        <v>35593.856180000002</v>
      </c>
      <c r="K5" s="2">
        <f>Natural_Gas!C5</f>
        <v>35720.305099999998</v>
      </c>
      <c r="L5" s="2">
        <f>B5-SUMIFS(Petroleum_Products!$D$2:$D$61,Petroleum_Products!$A$2:$A$61,A5,Petroleum_Products!$B$2:$B$61,"LPG")-SUMIFS(Petroleum_Products!$D$2:$D$61,Petroleum_Products!$A$2:$A$61,A5,Petroleum_Products!$B$2:$B$61,"MS")-SUMIFS(Petroleum_Products!$D$2:$D$61,Petroleum_Products!$A$2:$A$61,A5,Petroleum_Products!$B$2:$B$61,"HSD")-SUMIFS(Petroleum_Products!$D$2:$D$61,Petroleum_Products!$A$2:$A$61,A5,Petroleum_Products!$B$2:$B$61,"ATF")</f>
        <v>67.496736862237853</v>
      </c>
      <c r="M5" t="s">
        <v>46</v>
      </c>
    </row>
    <row r="6" spans="1:13">
      <c r="A6" t="s">
        <v>20</v>
      </c>
      <c r="B6" s="2">
        <f>Petroleum_Totals!C6</f>
        <v>243.20218035195839</v>
      </c>
      <c r="C6" s="2">
        <f>Domestic_Crude!B6</f>
        <v>25.979663310337127</v>
      </c>
      <c r="D6" s="2">
        <f>Crude_Imports!C6</f>
        <v>246.60070910193204</v>
      </c>
      <c r="E6" s="2">
        <f>D6/(C6+D6)*100</f>
        <v>90.468989722031878</v>
      </c>
      <c r="F6" s="2">
        <f>Refining_Capacity!D6</f>
        <v>258.11599999999999</v>
      </c>
      <c r="G6" s="2">
        <f>Refinery_Throughput!C6</f>
        <v>271.99118110495203</v>
      </c>
      <c r="H6" s="2">
        <f>G6/F6*100</f>
        <v>105.37556025389827</v>
      </c>
      <c r="I6" s="2">
        <f>Natural_Gas!D6</f>
        <v>68752.912715625003</v>
      </c>
      <c r="J6" s="2">
        <f>Natural_Gas!B6</f>
        <v>34326.230430000003</v>
      </c>
      <c r="K6" s="2">
        <f>Natural_Gas!C6</f>
        <v>34426.682285625</v>
      </c>
      <c r="L6" s="2">
        <f>B6-SUMIFS(Petroleum_Products!$D$2:$D$61,Petroleum_Products!$A$2:$A$61,A6,Petroleum_Products!$B$2:$B$61,"LPG")-SUMIFS(Petroleum_Products!$D$2:$D$61,Petroleum_Products!$A$2:$A$61,A6,Petroleum_Products!$B$2:$B$61,"MS")-SUMIFS(Petroleum_Products!$D$2:$D$61,Petroleum_Products!$A$2:$A$61,A6,Petroleum_Products!$B$2:$B$61,"HSD")-SUMIFS(Petroleum_Products!$D$2:$D$61,Petroleum_Products!$A$2:$A$61,A6,Petroleum_Products!$B$2:$B$61,"ATF")</f>
        <v>63.538031179249288</v>
      </c>
      <c r="M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Petroleum_Products</vt:lpstr>
      <vt:lpstr>Petroleum_Totals</vt:lpstr>
      <vt:lpstr>Domestic_Crude</vt:lpstr>
      <vt:lpstr>Crude_Imports</vt:lpstr>
      <vt:lpstr>Refining_Capacity</vt:lpstr>
      <vt:lpstr>Refinery_Throughput</vt:lpstr>
      <vt:lpstr>Natural_Gas</vt:lpstr>
      <vt:lpstr>Dashboard_Annual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NIRANJAN S G</cp:lastModifiedBy>
  <dcterms:modified xsi:type="dcterms:W3CDTF">2026-10-21T14:26:28Z</dcterms:modified>
</cp:coreProperties>
</file>